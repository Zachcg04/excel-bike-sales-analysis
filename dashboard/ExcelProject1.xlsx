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450" firstSheet="1"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44525"/>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<sst xmlns="http://schemas.openxmlformats.org/spreadsheetml/2006/main" count="16265" uniqueCount="48">
  <si>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</si>
  <si>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</si>
  <si>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</si>
  <si>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</si>
  <si>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</si>
  <si>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</si>
  <si>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</si>
  <si>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</si>
  <si>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</si>
  <si>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</si>
  <si>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</si>
  <si>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</si>
  <si>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</si>
  <si>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</si>
  <si>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</si>
  <si>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</si>
  <si>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</si>
  <si>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</si>
  <si>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</si>
  <si>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</si>
  <si>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</si>
  <si>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</si>
  <si>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</si>
  <si>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</si>
  <si>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</si>
  <si>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</si>
  <si>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</si>
  <si>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</si>
  <si>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</si>
  <si>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</si>
  <si>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</si>
  <si>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</si>
  <si>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</si>
  <si>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</si>
  <si>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</si>
  <si>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</si>
  <si>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</si>
  <si>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</si>
  <si>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</si>
  <si>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</si>
  <si>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</si>
  <si>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</si>
  <si>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</si>
  <si>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</si>
  <si>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Bike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</si>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</sst>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E71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66666.666666666672</c:v>
                </c:pt>
                <c:pt idx="1">
                  <c:v>22500</c:v>
                </c:pt>
              </c:numCache>
            </c:numRef>
          </c:val>
          <c:extLst xmlns:c16r2="http://schemas.microsoft.com/office/drawing/2015/06/chart">
            <c:ext xmlns:c16="http://schemas.microsoft.com/office/drawing/2014/chart" uri="{C3380CC4-5D6E-409C-BE32-E72D297353CC}">
              <c16:uniqueId val="{00000000-89FD-443E-8616-F0301B89467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35000</c:v>
                </c:pt>
                <c:pt idx="1">
                  <c:v>33333.333333333336</c:v>
                </c:pt>
              </c:numCache>
            </c:numRef>
          </c:val>
          <c:extLst xmlns:c16r2="http://schemas.microsoft.com/office/drawing/2015/06/chart">
            <c:ext xmlns:c16="http://schemas.microsoft.com/office/drawing/2014/chart" uri="{C3380CC4-5D6E-409C-BE32-E72D297353CC}">
              <c16:uniqueId val="{00000002-89FD-443E-8616-F0301B89467A}"/>
            </c:ext>
          </c:extLst>
        </c:ser>
        <c:dLbls>
          <c:showLegendKey val="0"/>
          <c:showVal val="0"/>
          <c:showCatName val="0"/>
          <c:showSerName val="0"/>
          <c:showPercent val="0"/>
          <c:showBubbleSize val="0"/>
        </c:dLbls>
        <c:gapWidth val="219"/>
        <c:overlap val="-27"/>
        <c:axId val="189118464"/>
        <c:axId val="156976832"/>
      </c:barChart>
      <c:catAx>
        <c:axId val="189118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76832"/>
        <c:crosses val="autoZero"/>
        <c:auto val="1"/>
        <c:lblAlgn val="ctr"/>
        <c:lblOffset val="100"/>
        <c:noMultiLvlLbl val="0"/>
      </c:catAx>
      <c:valAx>
        <c:axId val="156976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xmlns:c16r2="http://schemas.microsoft.com/office/drawing/2015/06/chart">
            <c:ext xmlns:c16="http://schemas.microsoft.com/office/drawing/2014/chart" uri="{C3380CC4-5D6E-409C-BE32-E72D297353CC}">
              <c16:uniqueId val="{00000000-0F1D-440D-B636-40CFF16D3F00}"/>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xmlns:c16r2="http://schemas.microsoft.com/office/drawing/2015/06/chart">
            <c:ext xmlns:c16="http://schemas.microsoft.com/office/drawing/2014/chart" uri="{C3380CC4-5D6E-409C-BE32-E72D297353CC}">
              <c16:uniqueId val="{00000002-0F1D-440D-B636-40CFF16D3F00}"/>
            </c:ext>
          </c:extLst>
        </c:ser>
        <c:dLbls>
          <c:showLegendKey val="0"/>
          <c:showVal val="0"/>
          <c:showCatName val="0"/>
          <c:showSerName val="0"/>
          <c:showPercent val="0"/>
          <c:showBubbleSize val="0"/>
        </c:dLbls>
        <c:marker val="1"/>
        <c:smooth val="0"/>
        <c:axId val="189401088"/>
        <c:axId val="156978560"/>
      </c:lineChart>
      <c:catAx>
        <c:axId val="18940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78560"/>
        <c:crosses val="autoZero"/>
        <c:auto val="1"/>
        <c:lblAlgn val="ctr"/>
        <c:lblOffset val="100"/>
        <c:noMultiLvlLbl val="0"/>
      </c:catAx>
      <c:valAx>
        <c:axId val="15697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10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4</c:v>
                </c:pt>
                <c:pt idx="1">
                  <c:v>3</c:v>
                </c:pt>
              </c:numCache>
            </c:numRef>
          </c:val>
          <c:smooth val="0"/>
          <c:extLst xmlns:c16r2="http://schemas.microsoft.com/office/drawing/2015/06/chart">
            <c:ext xmlns:c16="http://schemas.microsoft.com/office/drawing/2014/chart" uri="{C3380CC4-5D6E-409C-BE32-E72D297353CC}">
              <c16:uniqueId val="{00000000-F8FD-43AA-9DCA-380E8D2E4AA0}"/>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xmlns:c16r2="http://schemas.microsoft.com/office/drawing/2015/06/chart">
            <c:ext xmlns:c16="http://schemas.microsoft.com/office/drawing/2014/chart" uri="{C3380CC4-5D6E-409C-BE32-E72D297353CC}">
              <c16:uniqueId val="{00000002-F8FD-43AA-9DCA-380E8D2E4AA0}"/>
            </c:ext>
          </c:extLst>
        </c:ser>
        <c:dLbls>
          <c:showLegendKey val="0"/>
          <c:showVal val="0"/>
          <c:showCatName val="0"/>
          <c:showSerName val="0"/>
          <c:showPercent val="0"/>
          <c:showBubbleSize val="0"/>
        </c:dLbls>
        <c:marker val="1"/>
        <c:smooth val="0"/>
        <c:axId val="189748736"/>
        <c:axId val="156980288"/>
      </c:lineChart>
      <c:catAx>
        <c:axId val="18974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0288"/>
        <c:crosses val="autoZero"/>
        <c:auto val="1"/>
        <c:lblAlgn val="ctr"/>
        <c:lblOffset val="100"/>
        <c:noMultiLvlLbl val="0"/>
      </c:catAx>
      <c:valAx>
        <c:axId val="15698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48736"/>
        <c:crosses val="autoZero"/>
        <c:crossBetween val="between"/>
      </c:valAx>
      <c:spPr>
        <a:noFill/>
        <a:ln>
          <a:noFill/>
        </a:ln>
        <a:effectLst/>
      </c:spPr>
    </c:plotArea>
    <c:legend>
      <c:legendPos val="b"/>
      <c:layout>
        <c:manualLayout>
          <c:xMode val="edge"/>
          <c:yMode val="edge"/>
          <c:x val="0.38384995625546808"/>
          <c:y val="0.89409667541557303"/>
          <c:w val="0.236466754155730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2"/>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66666.666666666672</c:v>
                </c:pt>
                <c:pt idx="1">
                  <c:v>22500</c:v>
                </c:pt>
              </c:numCache>
            </c:numRef>
          </c:val>
          <c:extLst xmlns:c16r2="http://schemas.microsoft.com/office/drawing/2015/06/chart">
            <c:ext xmlns:c16="http://schemas.microsoft.com/office/drawing/2014/chart" uri="{C3380CC4-5D6E-409C-BE32-E72D297353CC}">
              <c16:uniqueId val="{00000000-1D8F-432B-A920-EB590C5DA95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35000</c:v>
                </c:pt>
                <c:pt idx="1">
                  <c:v>33333.333333333336</c:v>
                </c:pt>
              </c:numCache>
            </c:numRef>
          </c:val>
          <c:extLst xmlns:c16r2="http://schemas.microsoft.com/office/drawing/2015/06/chart">
            <c:ext xmlns:c16="http://schemas.microsoft.com/office/drawing/2014/chart" uri="{C3380CC4-5D6E-409C-BE32-E72D297353CC}">
              <c16:uniqueId val="{00000001-1D8F-432B-A920-EB590C5DA95B}"/>
            </c:ext>
          </c:extLst>
        </c:ser>
        <c:dLbls>
          <c:showLegendKey val="0"/>
          <c:showVal val="0"/>
          <c:showCatName val="0"/>
          <c:showSerName val="0"/>
          <c:showPercent val="0"/>
          <c:showBubbleSize val="0"/>
        </c:dLbls>
        <c:gapWidth val="219"/>
        <c:overlap val="-27"/>
        <c:axId val="247843328"/>
        <c:axId val="156982016"/>
      </c:barChart>
      <c:catAx>
        <c:axId val="24784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2016"/>
        <c:crosses val="autoZero"/>
        <c:auto val="1"/>
        <c:lblAlgn val="ctr"/>
        <c:lblOffset val="100"/>
        <c:noMultiLvlLbl val="0"/>
      </c:catAx>
      <c:valAx>
        <c:axId val="15698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84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0-1 Miles</c:v>
                </c:pt>
                <c:pt idx="1">
                  <c:v>1-2 Miles</c:v>
                </c:pt>
                <c:pt idx="2">
                  <c:v>2-5 Miles</c:v>
                </c:pt>
                <c:pt idx="3">
                  <c:v>More than 10 Miles</c:v>
                </c:pt>
              </c:strCache>
            </c:strRef>
          </c:cat>
          <c:val>
            <c:numRef>
              <c:f>'Pivot Table'!$B$22:$B$26</c:f>
              <c:numCache>
                <c:formatCode>General</c:formatCode>
                <c:ptCount val="4"/>
                <c:pt idx="0">
                  <c:v>3</c:v>
                </c:pt>
                <c:pt idx="1">
                  <c:v>1</c:v>
                </c:pt>
                <c:pt idx="2">
                  <c:v>1</c:v>
                </c:pt>
                <c:pt idx="3">
                  <c:v>2</c:v>
                </c:pt>
              </c:numCache>
            </c:numRef>
          </c:val>
          <c:smooth val="0"/>
          <c:extLst xmlns:c16r2="http://schemas.microsoft.com/office/drawing/2015/06/chart">
            <c:ext xmlns:c16="http://schemas.microsoft.com/office/drawing/2014/chart" uri="{C3380CC4-5D6E-409C-BE32-E72D297353CC}">
              <c16:uniqueId val="{00000000-290D-4064-B318-ED59F1C9C5C0}"/>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0-1 Miles</c:v>
                </c:pt>
                <c:pt idx="1">
                  <c:v>1-2 Miles</c:v>
                </c:pt>
                <c:pt idx="2">
                  <c:v>2-5 Miles</c:v>
                </c:pt>
                <c:pt idx="3">
                  <c:v>More than 10 Miles</c:v>
                </c:pt>
              </c:strCache>
            </c:strRef>
          </c:cat>
          <c:val>
            <c:numRef>
              <c:f>'Pivot Table'!$C$22:$C$26</c:f>
              <c:numCache>
                <c:formatCode>General</c:formatCode>
                <c:ptCount val="4"/>
                <c:pt idx="0">
                  <c:v>11</c:v>
                </c:pt>
                <c:pt idx="1">
                  <c:v>2</c:v>
                </c:pt>
              </c:numCache>
            </c:numRef>
          </c:val>
          <c:smooth val="0"/>
          <c:extLst xmlns:c16r2="http://schemas.microsoft.com/office/drawing/2015/06/chart">
            <c:ext xmlns:c16="http://schemas.microsoft.com/office/drawing/2014/chart" uri="{C3380CC4-5D6E-409C-BE32-E72D297353CC}">
              <c16:uniqueId val="{00000001-290D-4064-B318-ED59F1C9C5C0}"/>
            </c:ext>
          </c:extLst>
        </c:ser>
        <c:dLbls>
          <c:showLegendKey val="0"/>
          <c:showVal val="0"/>
          <c:showCatName val="0"/>
          <c:showSerName val="0"/>
          <c:showPercent val="0"/>
          <c:showBubbleSize val="0"/>
        </c:dLbls>
        <c:marker val="1"/>
        <c:smooth val="0"/>
        <c:axId val="249792000"/>
        <c:axId val="240009792"/>
      </c:lineChart>
      <c:catAx>
        <c:axId val="24979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09792"/>
        <c:crosses val="autoZero"/>
        <c:auto val="1"/>
        <c:lblAlgn val="ctr"/>
        <c:lblOffset val="100"/>
        <c:noMultiLvlLbl val="0"/>
      </c:catAx>
      <c:valAx>
        <c:axId val="24000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7920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4</c:v>
                </c:pt>
                <c:pt idx="1">
                  <c:v>3</c:v>
                </c:pt>
              </c:numCache>
            </c:numRef>
          </c:val>
          <c:smooth val="0"/>
          <c:extLst xmlns:c16r2="http://schemas.microsoft.com/office/drawing/2015/06/chart">
            <c:ext xmlns:c16="http://schemas.microsoft.com/office/drawing/2014/chart" uri="{C3380CC4-5D6E-409C-BE32-E72D297353CC}">
              <c16:uniqueId val="{00000000-B3A0-46AF-BB87-8F5F7686146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xmlns:c16r2="http://schemas.microsoft.com/office/drawing/2015/06/chart">
            <c:ext xmlns:c16="http://schemas.microsoft.com/office/drawing/2014/chart" uri="{C3380CC4-5D6E-409C-BE32-E72D297353CC}">
              <c16:uniqueId val="{00000001-B3A0-46AF-BB87-8F5F76861468}"/>
            </c:ext>
          </c:extLst>
        </c:ser>
        <c:dLbls>
          <c:showLegendKey val="0"/>
          <c:showVal val="0"/>
          <c:showCatName val="0"/>
          <c:showSerName val="0"/>
          <c:showPercent val="0"/>
          <c:showBubbleSize val="0"/>
        </c:dLbls>
        <c:marker val="1"/>
        <c:smooth val="0"/>
        <c:axId val="250036224"/>
        <c:axId val="240011520"/>
      </c:lineChart>
      <c:catAx>
        <c:axId val="25003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11520"/>
        <c:crosses val="autoZero"/>
        <c:auto val="1"/>
        <c:lblAlgn val="ctr"/>
        <c:lblOffset val="100"/>
        <c:noMultiLvlLbl val="0"/>
      </c:catAx>
      <c:valAx>
        <c:axId val="24001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36224"/>
        <c:crosses val="autoZero"/>
        <c:crossBetween val="between"/>
      </c:valAx>
      <c:spPr>
        <a:noFill/>
        <a:ln>
          <a:noFill/>
        </a:ln>
        <a:effectLst/>
      </c:spPr>
    </c:plotArea>
    <c:legend>
      <c:legendPos val="b"/>
      <c:layout>
        <c:manualLayout>
          <c:xMode val="edge"/>
          <c:yMode val="edge"/>
          <c:x val="0.38384995625546808"/>
          <c:y val="0.89409667541557303"/>
          <c:w val="0.236466754155730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14</xdr:row>
      <xdr:rowOff>76200</xdr:rowOff>
    </xdr:to>
    <xdr:graphicFrame macro="">
      <xdr:nvGraphicFramePr>
        <xdr:cNvPr id="2" name="Chart 1">
          <a:extLst>
            <a:ext uri="{FF2B5EF4-FFF2-40B4-BE49-F238E27FC236}">
              <a16:creationId xmlns:a16="http://schemas.microsoft.com/office/drawing/2014/main" xmlns="" id="{E911BADF-2998-C371-D673-330AAABB0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18</xdr:row>
      <xdr:rowOff>180975</xdr:rowOff>
    </xdr:from>
    <xdr:to>
      <xdr:col>12</xdr:col>
      <xdr:colOff>285750</xdr:colOff>
      <xdr:row>33</xdr:row>
      <xdr:rowOff>66675</xdr:rowOff>
    </xdr:to>
    <xdr:graphicFrame macro="">
      <xdr:nvGraphicFramePr>
        <xdr:cNvPr id="3" name="Chart 2">
          <a:extLst>
            <a:ext uri="{FF2B5EF4-FFF2-40B4-BE49-F238E27FC236}">
              <a16:creationId xmlns:a16="http://schemas.microsoft.com/office/drawing/2014/main" xmlns="" id="{76A0EF35-1F87-8F29-5BB6-4CA592672952}"/>
            </a:ext>
            <a:ext uri="{147F2762-F138-4A5C-976F-8EAC2B608ADB}">
              <a16:predDERef xmlns:a16="http://schemas.microsoft.com/office/drawing/2014/main" xmlns="" pred="{E911BADF-2998-C371-D673-330AAABB0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39</xdr:row>
      <xdr:rowOff>171450</xdr:rowOff>
    </xdr:from>
    <xdr:to>
      <xdr:col>12</xdr:col>
      <xdr:colOff>295275</xdr:colOff>
      <xdr:row>54</xdr:row>
      <xdr:rowOff>57150</xdr:rowOff>
    </xdr:to>
    <xdr:graphicFrame macro="">
      <xdr:nvGraphicFramePr>
        <xdr:cNvPr id="4" name="Chart 3">
          <a:extLst>
            <a:ext uri="{FF2B5EF4-FFF2-40B4-BE49-F238E27FC236}">
              <a16:creationId xmlns:a16="http://schemas.microsoft.com/office/drawing/2014/main" xmlns="" id="{574B03ED-DCDF-3621-C76F-3BEBB8B3A1B8}"/>
            </a:ext>
            <a:ext uri="{147F2762-F138-4A5C-976F-8EAC2B608ADB}">
              <a16:predDERef xmlns:a16="http://schemas.microsoft.com/office/drawing/2014/main" xmlns="" pred="{76A0EF35-1F87-8F29-5BB6-4CA592672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6</xdr:row>
      <xdr:rowOff>9525</xdr:rowOff>
    </xdr:from>
    <xdr:to>
      <xdr:col>8</xdr:col>
      <xdr:colOff>266700</xdr:colOff>
      <xdr:row>18</xdr:row>
      <xdr:rowOff>0</xdr:rowOff>
    </xdr:to>
    <xdr:graphicFrame macro="">
      <xdr:nvGraphicFramePr>
        <xdr:cNvPr id="2" name="Chart 1">
          <a:extLst>
            <a:ext uri="{FF2B5EF4-FFF2-40B4-BE49-F238E27FC236}">
              <a16:creationId xmlns:a16="http://schemas.microsoft.com/office/drawing/2014/main" xmlns="" id="{C57C1C5B-64A6-4F56-BA74-2A8D30628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18</xdr:row>
      <xdr:rowOff>28575</xdr:rowOff>
    </xdr:from>
    <xdr:to>
      <xdr:col>14</xdr:col>
      <xdr:colOff>9525</xdr:colOff>
      <xdr:row>35</xdr:row>
      <xdr:rowOff>66675</xdr:rowOff>
    </xdr:to>
    <xdr:graphicFrame macro="">
      <xdr:nvGraphicFramePr>
        <xdr:cNvPr id="3" name="Chart 2">
          <a:extLst>
            <a:ext uri="{FF2B5EF4-FFF2-40B4-BE49-F238E27FC236}">
              <a16:creationId xmlns:a16="http://schemas.microsoft.com/office/drawing/2014/main" xmlns="" id="{229DA03C-159E-40AA-9542-6F734755951C}"/>
            </a:ext>
            <a:ext uri="{147F2762-F138-4A5C-976F-8EAC2B608ADB}">
              <a16:predDERef xmlns:a16="http://schemas.microsoft.com/office/drawing/2014/main" xmlns="" pred="{C57C1C5B-64A6-4F56-BA74-2A8D30628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6</xdr:row>
      <xdr:rowOff>0</xdr:rowOff>
    </xdr:from>
    <xdr:to>
      <xdr:col>14</xdr:col>
      <xdr:colOff>19050</xdr:colOff>
      <xdr:row>18</xdr:row>
      <xdr:rowOff>9525</xdr:rowOff>
    </xdr:to>
    <xdr:graphicFrame macro="">
      <xdr:nvGraphicFramePr>
        <xdr:cNvPr id="4" name="Chart 3">
          <a:extLst>
            <a:ext uri="{FF2B5EF4-FFF2-40B4-BE49-F238E27FC236}">
              <a16:creationId xmlns:a16="http://schemas.microsoft.com/office/drawing/2014/main" xmlns="" id="{B613F7EA-930C-453C-AA1B-602989A36F6F}"/>
            </a:ext>
            <a:ext uri="{147F2762-F138-4A5C-976F-8EAC2B608ADB}">
              <a16:predDERef xmlns:a16="http://schemas.microsoft.com/office/drawing/2014/main" xmlns="" pred="{229DA03C-159E-40AA-9542-6F7347559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76199</xdr:colOff>
      <xdr:row>6</xdr:row>
      <xdr:rowOff>19051</xdr:rowOff>
    </xdr:from>
    <xdr:to>
      <xdr:col>3</xdr:col>
      <xdr:colOff>161924</xdr:colOff>
      <xdr:row>10</xdr:row>
      <xdr:rowOff>152401</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199" y="1162051"/>
              <a:ext cx="19145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17</xdr:row>
      <xdr:rowOff>47625</xdr:rowOff>
    </xdr:from>
    <xdr:to>
      <xdr:col>3</xdr:col>
      <xdr:colOff>161925</xdr:colOff>
      <xdr:row>26</xdr:row>
      <xdr:rowOff>66676</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674" y="3286125"/>
              <a:ext cx="1924051" cy="17335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10</xdr:row>
      <xdr:rowOff>152400</xdr:rowOff>
    </xdr:from>
    <xdr:to>
      <xdr:col>3</xdr:col>
      <xdr:colOff>161925</xdr:colOff>
      <xdr:row>17</xdr:row>
      <xdr:rowOff>47625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199" y="2057400"/>
              <a:ext cx="1914526"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68.512702893517"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A41:D45"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A20:D26"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A1:D5"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G1" workbookViewId="0">
      <selection activeCell="M2" sqref="M2"/>
    </sheetView>
  </sheetViews>
  <sheetFormatPr defaultRowHeight="15" x14ac:dyDescent="0.25"/>
  <cols>
    <col min="2" max="2" width="25.42578125" bestFit="1" customWidth="1"/>
    <col min="4" max="4" width="16.7109375" style="3" customWidth="1"/>
    <col min="5" max="5" width="15.28515625" customWidth="1"/>
    <col min="6" max="6" width="17.7109375" bestFit="1" customWidth="1"/>
    <col min="7" max="7" width="14" bestFit="1" customWidth="1"/>
    <col min="8" max="8" width="15" bestFit="1" customWidth="1"/>
    <col min="9" max="9" width="7.140625" bestFit="1" customWidth="1"/>
    <col min="10" max="10" width="20.28515625" bestFit="1" customWidth="1"/>
    <col min="11" max="11" width="14" bestFit="1" customWidth="1"/>
    <col min="12" max="12" width="6.7109375" bestFit="1" customWidth="1"/>
    <col min="13" max="13" width="14.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IF(L2&gt;54,"Old",IF(L2&gt;=31, "Middle Age",IF(L2&lt;31,"Adolescent","Invalid")))</f>
        <v>Middle Age</v>
      </c>
      <c r="N2" t="s">
        <v>20</v>
      </c>
    </row>
    <row r="3" spans="1:14" x14ac:dyDescent="0.25">
      <c r="A3">
        <v>24107</v>
      </c>
      <c r="B3" t="s">
        <v>37</v>
      </c>
      <c r="C3" t="s">
        <v>39</v>
      </c>
      <c r="D3" s="3">
        <v>30000</v>
      </c>
      <c r="E3">
        <v>3</v>
      </c>
      <c r="F3" t="s">
        <v>21</v>
      </c>
      <c r="G3" t="s">
        <v>22</v>
      </c>
      <c r="H3" t="s">
        <v>17</v>
      </c>
      <c r="I3">
        <v>1</v>
      </c>
      <c r="J3" t="s">
        <v>18</v>
      </c>
      <c r="K3" t="s">
        <v>19</v>
      </c>
      <c r="L3">
        <v>43</v>
      </c>
      <c r="M3" t="str">
        <f t="shared" ref="M3:M66" si="0">IF(L3&gt;54,"Old",IF(L3&gt;=31, "Middle Age",IF(L3&lt;31,"Adolescent","Invalid")))</f>
        <v>Middle Age</v>
      </c>
      <c r="N3" t="s">
        <v>20</v>
      </c>
    </row>
    <row r="4" spans="1:14" x14ac:dyDescent="0.25">
      <c r="A4">
        <v>14177</v>
      </c>
      <c r="B4" t="s">
        <v>37</v>
      </c>
      <c r="C4" t="s">
        <v>39</v>
      </c>
      <c r="D4" s="3">
        <v>80000</v>
      </c>
      <c r="E4">
        <v>5</v>
      </c>
      <c r="F4" t="s">
        <v>21</v>
      </c>
      <c r="G4" t="s">
        <v>23</v>
      </c>
      <c r="H4" t="s">
        <v>20</v>
      </c>
      <c r="I4">
        <v>2</v>
      </c>
      <c r="J4" t="s">
        <v>24</v>
      </c>
      <c r="K4" t="s">
        <v>19</v>
      </c>
      <c r="L4">
        <v>60</v>
      </c>
      <c r="M4" t="str">
        <f t="shared" si="0"/>
        <v>Old</v>
      </c>
      <c r="N4" t="s">
        <v>20</v>
      </c>
    </row>
    <row r="5" spans="1:14" x14ac:dyDescent="0.25">
      <c r="A5">
        <v>24381</v>
      </c>
      <c r="B5" t="s">
        <v>40</v>
      </c>
      <c r="C5" t="s">
        <v>39</v>
      </c>
      <c r="D5" s="3">
        <v>70000</v>
      </c>
      <c r="E5">
        <v>0</v>
      </c>
      <c r="F5" t="s">
        <v>15</v>
      </c>
      <c r="G5" t="s">
        <v>23</v>
      </c>
      <c r="H5" t="s">
        <v>17</v>
      </c>
      <c r="I5">
        <v>1</v>
      </c>
      <c r="J5" t="s">
        <v>26</v>
      </c>
      <c r="K5" t="s">
        <v>27</v>
      </c>
      <c r="L5">
        <v>41</v>
      </c>
      <c r="M5" t="str">
        <f t="shared" si="0"/>
        <v>Middle Age</v>
      </c>
      <c r="N5" t="s">
        <v>17</v>
      </c>
    </row>
    <row r="6" spans="1:14" x14ac:dyDescent="0.25">
      <c r="A6">
        <v>25597</v>
      </c>
      <c r="B6" t="s">
        <v>40</v>
      </c>
      <c r="C6" t="s">
        <v>39</v>
      </c>
      <c r="D6" s="3">
        <v>30000</v>
      </c>
      <c r="E6">
        <v>0</v>
      </c>
      <c r="F6" t="s">
        <v>15</v>
      </c>
      <c r="G6" t="s">
        <v>22</v>
      </c>
      <c r="H6" t="s">
        <v>20</v>
      </c>
      <c r="I6">
        <v>0</v>
      </c>
      <c r="J6" t="s">
        <v>18</v>
      </c>
      <c r="K6" t="s">
        <v>19</v>
      </c>
      <c r="L6">
        <v>36</v>
      </c>
      <c r="M6" t="str">
        <f t="shared" si="0"/>
        <v>Middle Age</v>
      </c>
      <c r="N6" t="s">
        <v>17</v>
      </c>
    </row>
    <row r="7" spans="1:14" x14ac:dyDescent="0.25">
      <c r="A7">
        <v>13507</v>
      </c>
      <c r="B7" t="s">
        <v>37</v>
      </c>
      <c r="C7" t="s">
        <v>38</v>
      </c>
      <c r="D7" s="3">
        <v>10000</v>
      </c>
      <c r="E7">
        <v>2</v>
      </c>
      <c r="F7" t="s">
        <v>21</v>
      </c>
      <c r="G7" t="s">
        <v>28</v>
      </c>
      <c r="H7" t="s">
        <v>17</v>
      </c>
      <c r="I7">
        <v>0</v>
      </c>
      <c r="J7" t="s">
        <v>29</v>
      </c>
      <c r="K7" t="s">
        <v>19</v>
      </c>
      <c r="L7">
        <v>50</v>
      </c>
      <c r="M7" t="str">
        <f t="shared" si="0"/>
        <v>Middle Age</v>
      </c>
      <c r="N7" t="s">
        <v>20</v>
      </c>
    </row>
    <row r="8" spans="1:14" x14ac:dyDescent="0.25">
      <c r="A8">
        <v>27974</v>
      </c>
      <c r="B8" t="s">
        <v>40</v>
      </c>
      <c r="C8" t="s">
        <v>39</v>
      </c>
      <c r="D8" s="3">
        <v>160000</v>
      </c>
      <c r="E8">
        <v>2</v>
      </c>
      <c r="F8" t="s">
        <v>30</v>
      </c>
      <c r="G8" t="s">
        <v>31</v>
      </c>
      <c r="H8" t="s">
        <v>17</v>
      </c>
      <c r="I8">
        <v>4</v>
      </c>
      <c r="J8" t="s">
        <v>18</v>
      </c>
      <c r="K8" t="s">
        <v>27</v>
      </c>
      <c r="L8">
        <v>33</v>
      </c>
      <c r="M8" t="str">
        <f t="shared" si="0"/>
        <v>Middle Age</v>
      </c>
      <c r="N8" t="s">
        <v>17</v>
      </c>
    </row>
    <row r="9" spans="1:14" x14ac:dyDescent="0.25">
      <c r="A9">
        <v>19364</v>
      </c>
      <c r="B9" t="s">
        <v>37</v>
      </c>
      <c r="C9" t="s">
        <v>39</v>
      </c>
      <c r="D9" s="3">
        <v>40000</v>
      </c>
      <c r="E9">
        <v>1</v>
      </c>
      <c r="F9" t="s">
        <v>15</v>
      </c>
      <c r="G9" t="s">
        <v>16</v>
      </c>
      <c r="H9" t="s">
        <v>17</v>
      </c>
      <c r="I9">
        <v>0</v>
      </c>
      <c r="J9" t="s">
        <v>18</v>
      </c>
      <c r="K9" t="s">
        <v>19</v>
      </c>
      <c r="L9">
        <v>43</v>
      </c>
      <c r="M9" t="str">
        <f t="shared" si="0"/>
        <v>Middle Age</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Middle Age</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Middle Age</v>
      </c>
      <c r="N12" t="s">
        <v>17</v>
      </c>
    </row>
    <row r="13" spans="1:14" x14ac:dyDescent="0.25">
      <c r="A13">
        <v>12697</v>
      </c>
      <c r="B13" t="s">
        <v>40</v>
      </c>
      <c r="C13" t="s">
        <v>38</v>
      </c>
      <c r="D13" s="3">
        <v>90000</v>
      </c>
      <c r="E13">
        <v>0</v>
      </c>
      <c r="F13" t="s">
        <v>15</v>
      </c>
      <c r="G13" t="s">
        <v>23</v>
      </c>
      <c r="H13" t="s">
        <v>20</v>
      </c>
      <c r="I13">
        <v>4</v>
      </c>
      <c r="J13" t="s">
        <v>41</v>
      </c>
      <c r="K13" t="s">
        <v>27</v>
      </c>
      <c r="L13">
        <v>36</v>
      </c>
      <c r="M13" t="str">
        <f t="shared" si="0"/>
        <v>Middle Age</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Old</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Middle Age</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Middle Age</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Middle Age</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Middle Age</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Old</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Middle Age</v>
      </c>
      <c r="N22" t="s">
        <v>17</v>
      </c>
    </row>
    <row r="23" spans="1:14" x14ac:dyDescent="0.25">
      <c r="A23">
        <v>21564</v>
      </c>
      <c r="B23" t="s">
        <v>40</v>
      </c>
      <c r="C23" t="s">
        <v>38</v>
      </c>
      <c r="D23" s="3">
        <v>80000</v>
      </c>
      <c r="E23">
        <v>0</v>
      </c>
      <c r="F23" t="s">
        <v>15</v>
      </c>
      <c r="G23" t="s">
        <v>23</v>
      </c>
      <c r="H23" t="s">
        <v>17</v>
      </c>
      <c r="I23">
        <v>4</v>
      </c>
      <c r="J23" t="s">
        <v>41</v>
      </c>
      <c r="K23" t="s">
        <v>27</v>
      </c>
      <c r="L23">
        <v>35</v>
      </c>
      <c r="M23" t="str">
        <f t="shared" si="0"/>
        <v>Middle Age</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Middle Age</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Middle Age</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Adolescent</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Middle Age</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Middle Age</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Middle Age</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Adolescent</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Middle Age</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Middle Age</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Middle Age</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Middle Age</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Adolescent</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Adolescent</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Middle Age</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Middle Age</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Middle Age</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Middle Age</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Middle Age</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Middle Age</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Middle Age</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Middle Age</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Adolescent</v>
      </c>
      <c r="N52" t="s">
        <v>20</v>
      </c>
    </row>
    <row r="53" spans="1:14" x14ac:dyDescent="0.25">
      <c r="A53">
        <v>20619</v>
      </c>
      <c r="B53" t="s">
        <v>40</v>
      </c>
      <c r="C53" t="s">
        <v>39</v>
      </c>
      <c r="D53" s="3">
        <v>80000</v>
      </c>
      <c r="E53">
        <v>0</v>
      </c>
      <c r="F53" t="s">
        <v>15</v>
      </c>
      <c r="G53" t="s">
        <v>23</v>
      </c>
      <c r="H53" t="s">
        <v>20</v>
      </c>
      <c r="I53">
        <v>4</v>
      </c>
      <c r="J53" t="s">
        <v>41</v>
      </c>
      <c r="K53" t="s">
        <v>27</v>
      </c>
      <c r="L53">
        <v>35</v>
      </c>
      <c r="M53" t="str">
        <f t="shared" si="0"/>
        <v>Middle Age</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Middle Age</v>
      </c>
      <c r="N56" t="s">
        <v>20</v>
      </c>
    </row>
    <row r="57" spans="1:14" x14ac:dyDescent="0.25">
      <c r="A57">
        <v>28906</v>
      </c>
      <c r="B57" t="s">
        <v>37</v>
      </c>
      <c r="C57" t="s">
        <v>39</v>
      </c>
      <c r="D57" s="3">
        <v>80000</v>
      </c>
      <c r="E57">
        <v>4</v>
      </c>
      <c r="F57" t="s">
        <v>30</v>
      </c>
      <c r="G57" t="s">
        <v>23</v>
      </c>
      <c r="H57" t="s">
        <v>17</v>
      </c>
      <c r="I57">
        <v>2</v>
      </c>
      <c r="J57" t="s">
        <v>41</v>
      </c>
      <c r="K57" t="s">
        <v>19</v>
      </c>
      <c r="L57">
        <v>54</v>
      </c>
      <c r="M57" t="str">
        <f t="shared" si="0"/>
        <v>Middle Age</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Middle Age</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Middle Age</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Middle Age</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Middle Age</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Middle Age</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Middle Age</v>
      </c>
      <c r="N64" t="s">
        <v>17</v>
      </c>
    </row>
    <row r="65" spans="1:14" x14ac:dyDescent="0.25">
      <c r="A65">
        <v>16185</v>
      </c>
      <c r="B65" t="s">
        <v>40</v>
      </c>
      <c r="C65" t="s">
        <v>39</v>
      </c>
      <c r="D65" s="3">
        <v>60000</v>
      </c>
      <c r="E65">
        <v>4</v>
      </c>
      <c r="F65" t="s">
        <v>15</v>
      </c>
      <c r="G65" t="s">
        <v>23</v>
      </c>
      <c r="H65" t="s">
        <v>17</v>
      </c>
      <c r="I65">
        <v>3</v>
      </c>
      <c r="J65" t="s">
        <v>41</v>
      </c>
      <c r="K65" t="s">
        <v>27</v>
      </c>
      <c r="L65">
        <v>41</v>
      </c>
      <c r="M65" t="str">
        <f t="shared" si="0"/>
        <v>Middle Age</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IF(L67&gt;54,"Old",IF(L67&gt;=31, "Middle Age",IF(L67&lt;31,"Adolescent","Invalid")))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Middle Age</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Middle Age</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Middle Age</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Adolescent</v>
      </c>
      <c r="N71" t="s">
        <v>20</v>
      </c>
    </row>
    <row r="72" spans="1:14" x14ac:dyDescent="0.25">
      <c r="A72">
        <v>14238</v>
      </c>
      <c r="B72" t="s">
        <v>37</v>
      </c>
      <c r="C72" t="s">
        <v>39</v>
      </c>
      <c r="D72" s="3">
        <v>120000</v>
      </c>
      <c r="E72">
        <v>0</v>
      </c>
      <c r="F72" t="s">
        <v>32</v>
      </c>
      <c r="G72" t="s">
        <v>23</v>
      </c>
      <c r="H72" t="s">
        <v>17</v>
      </c>
      <c r="I72">
        <v>4</v>
      </c>
      <c r="J72" t="s">
        <v>41</v>
      </c>
      <c r="K72" t="s">
        <v>27</v>
      </c>
      <c r="L72">
        <v>36</v>
      </c>
      <c r="M72" t="str">
        <f t="shared" si="1"/>
        <v>Middle Age</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Middle Age</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Middle Age</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Middle Age</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Adolescent</v>
      </c>
      <c r="N78" t="s">
        <v>20</v>
      </c>
    </row>
    <row r="79" spans="1:14" x14ac:dyDescent="0.25">
      <c r="A79">
        <v>27969</v>
      </c>
      <c r="B79" t="s">
        <v>37</v>
      </c>
      <c r="C79" t="s">
        <v>39</v>
      </c>
      <c r="D79" s="3">
        <v>80000</v>
      </c>
      <c r="E79">
        <v>0</v>
      </c>
      <c r="F79" t="s">
        <v>15</v>
      </c>
      <c r="G79" t="s">
        <v>23</v>
      </c>
      <c r="H79" t="s">
        <v>17</v>
      </c>
      <c r="I79">
        <v>2</v>
      </c>
      <c r="J79" t="s">
        <v>41</v>
      </c>
      <c r="K79" t="s">
        <v>27</v>
      </c>
      <c r="L79">
        <v>29</v>
      </c>
      <c r="M79" t="str">
        <f t="shared" si="1"/>
        <v>Adolescent</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Middle Age</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Middle Age</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Middle Age</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Middle Age</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Adolescent</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Middle Age</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Adolescent</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Middle Age</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Middle Age</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Adolescent</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Middle Age</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Adolescent</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Adolescent</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Middle Age</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Middle Age</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Old</v>
      </c>
      <c r="N96" t="s">
        <v>20</v>
      </c>
    </row>
    <row r="97" spans="1:14" x14ac:dyDescent="0.2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Middle Age</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Middle 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IF(L131&gt;54,"Old",IF(L131&gt;=31, "Middle Age",IF(L131&lt;31,"Adolescent","Invalid")))</f>
        <v>Middle 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t="str">
        <f t="shared" ref="M195:M258" si="3">IF(L195&gt;54,"Old",IF(L195&gt;=31, "Middle Age",IF(L195&lt;31,"Adolescent","Invalid")))</f>
        <v>Middle 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IF(L259&gt;54,"Old",IF(L259&gt;=31, "Middle Age",IF(L259&lt;31,"Adolescent","Invalid")))</f>
        <v>Middle 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IF(L323&gt;54,"Old",IF(L323&gt;=31, "Middle Age",IF(L323&lt;31,"Adolescent","Invalid")))</f>
        <v>Middle 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IF(L387&gt;54,"Old",IF(L387&gt;=31, "Middle Age",IF(L387&lt;31,"Adolescent","Invalid")))</f>
        <v>Middle 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IF(L451&gt;54,"Old",IF(L451&gt;=31, "Middle Age",IF(L451&lt;31,"Adolescent","Invalid")))</f>
        <v>Middle 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t="str">
        <f t="shared" ref="M515:M578" si="8">IF(L515&gt;54,"Old",IF(L515&gt;=31, "Middle Age",IF(L515&lt;31,"Adolescent","Invalid")))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IF(L579&gt;54,"Old",IF(L579&gt;=31, "Middle Age",IF(L579&lt;31,"Adolescent","Invalid")))</f>
        <v>Middle 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t="str">
        <f t="shared" ref="M643:M706" si="10">IF(L643&gt;54,"Old",IF(L643&gt;=31, "Middle Age",IF(L643&lt;31,"Adolescent","Invalid")))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t="str">
        <f t="shared" ref="M707:M770" si="11">IF(L707&gt;54,"Old",IF(L707&gt;=31, "Middle Age",IF(L707&lt;31,"Adolescent","Invalid")))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IF(L771&gt;54,"Old",IF(L771&gt;=31, "Middle Age",IF(L771&lt;31,"Adolescent","Invalid")))</f>
        <v>Middle 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t="str">
        <f t="shared" si="12"/>
        <v>Middle 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IF(L835&gt;54,"Old",IF(L835&gt;=31, "Middle Age",IF(L835&lt;31,"Adolescent","Invalid")))</f>
        <v>Middle 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IF(L899&gt;54,"Old",IF(L899&gt;=31, "Middle Age",IF(L899&lt;31,"Adolescent","Invalid")))</f>
        <v>Adolescent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IF(L963&gt;54,"Old",IF(L963&gt;=31, "Middle Age",IF(L963&lt;31,"Adolescent","Invalid")))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Middle 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workbookViewId="0">
      <selection activeCell="Q26" sqref="Q26"/>
    </sheetView>
  </sheetViews>
  <sheetFormatPr defaultRowHeight="15" x14ac:dyDescent="0.25"/>
  <cols>
    <col min="1" max="1" width="22.85546875" customWidth="1"/>
    <col min="2" max="2" width="16.85546875" customWidth="1"/>
    <col min="3" max="3" width="16.85546875" bestFit="1" customWidth="1"/>
    <col min="4" max="4" width="11.28515625" customWidth="1"/>
  </cols>
  <sheetData>
    <row r="1" spans="1:4" x14ac:dyDescent="0.25">
      <c r="A1" s="4" t="s">
        <v>42</v>
      </c>
      <c r="B1" s="4" t="s">
        <v>12</v>
      </c>
    </row>
    <row r="2" spans="1:4" x14ac:dyDescent="0.25">
      <c r="A2" s="4" t="s">
        <v>2</v>
      </c>
      <c r="B2" t="s">
        <v>20</v>
      </c>
      <c r="C2" t="s">
        <v>17</v>
      </c>
      <c r="D2" t="s">
        <v>43</v>
      </c>
    </row>
    <row r="3" spans="1:4" x14ac:dyDescent="0.25">
      <c r="A3" t="s">
        <v>38</v>
      </c>
      <c r="B3" s="3">
        <v>66666.666666666672</v>
      </c>
      <c r="C3" s="3">
        <v>35000</v>
      </c>
      <c r="D3" s="3">
        <v>48571.428571428572</v>
      </c>
    </row>
    <row r="4" spans="1:4" x14ac:dyDescent="0.25">
      <c r="A4" t="s">
        <v>39</v>
      </c>
      <c r="B4" s="3">
        <v>22500</v>
      </c>
      <c r="C4" s="3">
        <v>33333.333333333336</v>
      </c>
      <c r="D4" s="3">
        <v>30000</v>
      </c>
    </row>
    <row r="5" spans="1:4" x14ac:dyDescent="0.25">
      <c r="A5" t="s">
        <v>43</v>
      </c>
      <c r="B5" s="3">
        <v>41428.571428571428</v>
      </c>
      <c r="C5" s="3">
        <v>33846.153846153844</v>
      </c>
      <c r="D5" s="3">
        <v>36500</v>
      </c>
    </row>
    <row r="20" spans="1:4" x14ac:dyDescent="0.25">
      <c r="A20" s="4" t="s">
        <v>44</v>
      </c>
      <c r="B20" s="4" t="s">
        <v>12</v>
      </c>
    </row>
    <row r="21" spans="1:4" x14ac:dyDescent="0.25">
      <c r="A21" s="4" t="s">
        <v>9</v>
      </c>
      <c r="B21" t="s">
        <v>20</v>
      </c>
      <c r="C21" t="s">
        <v>17</v>
      </c>
      <c r="D21" t="s">
        <v>43</v>
      </c>
    </row>
    <row r="22" spans="1:4" x14ac:dyDescent="0.25">
      <c r="A22" t="s">
        <v>18</v>
      </c>
      <c r="B22" s="5">
        <v>3</v>
      </c>
      <c r="C22" s="5">
        <v>11</v>
      </c>
      <c r="D22" s="5">
        <v>14</v>
      </c>
    </row>
    <row r="23" spans="1:4" x14ac:dyDescent="0.25">
      <c r="A23" t="s">
        <v>29</v>
      </c>
      <c r="B23" s="5">
        <v>1</v>
      </c>
      <c r="C23" s="5">
        <v>2</v>
      </c>
      <c r="D23" s="5">
        <v>3</v>
      </c>
    </row>
    <row r="24" spans="1:4" x14ac:dyDescent="0.25">
      <c r="A24" t="s">
        <v>24</v>
      </c>
      <c r="B24" s="5">
        <v>1</v>
      </c>
      <c r="C24" s="5"/>
      <c r="D24" s="5">
        <v>1</v>
      </c>
    </row>
    <row r="25" spans="1:4" x14ac:dyDescent="0.25">
      <c r="A25" t="s">
        <v>41</v>
      </c>
      <c r="B25" s="5">
        <v>2</v>
      </c>
      <c r="C25" s="5"/>
      <c r="D25" s="5">
        <v>2</v>
      </c>
    </row>
    <row r="26" spans="1:4" x14ac:dyDescent="0.25">
      <c r="A26" t="s">
        <v>43</v>
      </c>
      <c r="B26" s="5">
        <v>7</v>
      </c>
      <c r="C26" s="5">
        <v>13</v>
      </c>
      <c r="D26" s="5">
        <v>20</v>
      </c>
    </row>
    <row r="41" spans="1:4" x14ac:dyDescent="0.25">
      <c r="A41" s="4" t="s">
        <v>44</v>
      </c>
      <c r="B41" s="4" t="s">
        <v>12</v>
      </c>
    </row>
    <row r="42" spans="1:4" x14ac:dyDescent="0.25">
      <c r="A42" s="4" t="s">
        <v>36</v>
      </c>
      <c r="B42" t="s">
        <v>20</v>
      </c>
      <c r="C42" t="s">
        <v>17</v>
      </c>
      <c r="D42" t="s">
        <v>43</v>
      </c>
    </row>
    <row r="43" spans="1:4" x14ac:dyDescent="0.25">
      <c r="A43" t="s">
        <v>45</v>
      </c>
      <c r="B43" s="5">
        <v>4</v>
      </c>
      <c r="C43" s="5">
        <v>12</v>
      </c>
      <c r="D43" s="5">
        <v>16</v>
      </c>
    </row>
    <row r="44" spans="1:4" x14ac:dyDescent="0.25">
      <c r="A44" t="s">
        <v>46</v>
      </c>
      <c r="B44" s="5">
        <v>3</v>
      </c>
      <c r="C44" s="5">
        <v>1</v>
      </c>
      <c r="D44" s="5">
        <v>4</v>
      </c>
    </row>
    <row r="45" spans="1:4" x14ac:dyDescent="0.25">
      <c r="A45" t="s">
        <v>43</v>
      </c>
      <c r="B45" s="5">
        <v>7</v>
      </c>
      <c r="C45" s="5">
        <v>13</v>
      </c>
      <c r="D45" s="5">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workbookViewId="0">
      <selection activeCell="U18" sqref="U18"/>
    </sheetView>
  </sheetViews>
  <sheetFormatPr defaultRowHeight="15" x14ac:dyDescent="0.25"/>
  <sheetData>
    <row r="1" spans="1:15" x14ac:dyDescent="0.25">
      <c r="A1" s="6" t="s">
        <v>47</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Zach Garrett</cp:lastModifiedBy>
  <cp:revision/>
  <dcterms:created xsi:type="dcterms:W3CDTF">2022-03-18T02:50:57Z</dcterms:created>
  <dcterms:modified xsi:type="dcterms:W3CDTF">2025-11-07T19:09:07Z</dcterms:modified>
  <cp:category/>
  <cp:contentStatus/>
</cp:coreProperties>
</file>